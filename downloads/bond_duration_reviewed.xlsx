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9346a6663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nds" sheetId="1" r:id="Rbbc708bd131d44f5"/>
    <x:sheet xmlns:r="http://schemas.openxmlformats.org/officeDocument/2006/relationships" name="shock +-100bp" sheetId="2" r:id="R6cc0624ec2f6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"/>
    <x:numFmt numFmtId="200" formatCode="0.00%"/>
    <x:numFmt numFmtId="201" formatCode="0.0000"/>
    <x:numFmt numFmtId="202" formatCode="0.000%"/>
    <x:numFmt numFmtId="203" formatCode="0.000000"/>
    <x:numFmt numFmtId="204" formatCode="0.0000;[Red](0.0000);0.0000"/>
  </x:numFmts>
  <x:fonts count="11">
    <x:font>
      <x:sz val="11"/>
      <x:color theme="1"/>
      <x:name val="Calibri"/>
    </x:font>
    <x:font>
      <x:b/>
      <x:color rgb="FFC00000"/>
    </x:font>
    <x:font>
      <x:b/>
    </x:font>
    <x:font>
      <x:b/>
      <x:color rgb="FFC00000"/>
      <x:name val="Arial"/>
    </x:font>
    <x:font>
      <x:sz val="11"/>
      <x:color theme="1"/>
      <x:name val="Arial"/>
    </x:font>
    <x:font>
      <x:b/>
      <x:name val="Arial"/>
    </x:font>
    <x:font>
      <x:b/>
      <x:sz val="11"/>
      <x:color rgb="FFC00000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2D4E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/>
    <x:xf numFmtId="164" fontId="0" fillId="0" borderId="0" xfId="0"/>
    <x:xf numFmtId="0" fontId="2" fillId="0" borderId="0" xfId="0"/>
    <x:xf numFmtId="10" fontId="0" fillId="0" borderId="0" xfId="0"/>
    <x:xf numFmtId="2" fontId="0" fillId="0" borderId="0" xfId="0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164" fontId="4" fillId="0" borderId="0" xfId="0" applyNumberFormat="1" applyFont="1" applyFill="1" applyBorder="1"/>
    <x:xf numFmtId="0" fontId="5" fillId="0" borderId="0" xfId="0" applyNumberFormat="1" applyFont="1" applyFill="1" applyBorder="1"/>
    <x:xf numFmtId="10" fontId="4" fillId="0" borderId="0" xfId="0" applyNumberFormat="1" applyFont="1" applyFill="1" applyBorder="1"/>
    <x:xf numFmtId="2" fontId="4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4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0" fontId="9" fillId="0" borderId="0" xfId="0" applyNumberFormat="1" applyFont="1" applyFill="1" applyBorder="1"/>
    <x:xf numFmtId="164" fontId="9" fillId="0" borderId="0" xfId="0" applyNumberFormat="1" applyFont="1" applyFill="1" applyBorder="1"/>
    <x:xf numFmtId="201" fontId="10" fillId="0" borderId="0" xfId="0" applyNumberFormat="1" applyFont="1" applyFill="1" applyBorder="1"/>
    <x:xf numFmtId="204" fontId="4" fillId="0" borderId="0" xfId="0" applyNumberFormat="1" applyFont="1" applyFill="1" applyBorder="1"/>
    <x:xf numFmtId="0" fontId="9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ebb57ab234723" /><Relationship Type="http://schemas.openxmlformats.org/officeDocument/2006/relationships/theme" Target="/xl/theme/theme1.xml" Id="Rc7d74531bfea4d9a" /><Relationship Type="http://schemas.openxmlformats.org/officeDocument/2006/relationships/sharedStrings" Target="/xl/sharedStrings.xml" Id="Rd52f73d79f6142fa" /><Relationship Type="http://schemas.openxmlformats.org/officeDocument/2006/relationships/worksheet" Target="/xl/worksheets/sheet1.xml" Id="Rbbc708bd131d44f5" /><Relationship Type="http://schemas.openxmlformats.org/officeDocument/2006/relationships/worksheet" Target="/xl/worksheets/sheet2.xml" Id="R6cc0624ec2f64d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7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7" hidden="0" customWidth="1"/>
    <x:col min="10" max="10" width="19" hidden="0" customWidth="1"/>
    <x:col min="11" max="11" width="19" hidden="0" customWidth="1"/>
  </x:cols>
  <x:sheetData>
    <x:row r="1" ht="32" customHeight="1">
      <x:c r="A1" s="14" t="inlineStr">
        <x:is>
          <x:t xml:space="preserve">Bond Duration Analysis — Synthetic-Data Learning Exercise</x:t>
        </x:is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25" customHeight="1">
      <x:c r="A2" s="7" t="inlineStr">
        <x:is>
          <x:t xml:space="preserve">settlement</x:t>
        </x:is>
      </x:c>
      <x:c r="B2" s="8" t="n">
        <x:v>46296</x:v>
      </x:c>
      <x:c r="C2" s="7"/>
      <x:c r="D2" s="7"/>
      <x:c r="E2" s="7"/>
      <x:c r="F2" s="7"/>
      <x:c r="G2" s="7"/>
      <x:c r="H2" s="7"/>
      <x:c r="I2" s="7"/>
      <x:c r="J2" s="7"/>
      <x:c r="K2" s="7"/>
    </x:row>
    <x:row r="3" ht="25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ht="42" customHeight="1">
      <x:c r="A4" s="19" t="inlineStr">
        <x:is>
          <x:t xml:space="preserve">Bond</x:t>
        </x:is>
      </x:c>
      <x:c r="B4" s="19" t="inlineStr">
        <x:is>
          <x:t xml:space="preserve">Type</x:t>
        </x:is>
      </x:c>
      <x:c r="C4" s="19" t="inlineStr">
        <x:is>
          <x:t xml:space="preserve">Coupon</x:t>
        </x:is>
      </x:c>
      <x:c r="D4" s="19" t="inlineStr">
        <x:is>
          <x:t xml:space="preserve">Maturity</x:t>
        </x:is>
      </x:c>
      <x:c r="E4" s="19" t="inlineStr">
        <x:is>
          <x:t xml:space="preserve">YTM</x:t>
        </x:is>
      </x:c>
      <x:c r="F4" s="19" t="str">
        <x:v>Clean price / $100</x:v>
      </x:c>
      <x:c r="G4" s="19" t="str">
        <x:v>Macaulay years</x:v>
      </x:c>
      <x:c r="H4" s="19" t="str">
        <x:v>Modified years</x:v>
      </x:c>
      <x:c r="I4" s="19" t="inlineStr">
        <x:is>
          <x:t xml:space="preserve">notes</x:t>
        </x:is>
      </x:c>
      <x:c r="J4" s="19" t="str">
        <x:v>Accrued / $100</x:v>
      </x:c>
      <x:c r="K4" s="19" t="str">
        <x:v>Dirty price / $100</x:v>
      </x:c>
    </x:row>
    <x:row r="5" ht="44" customHeight="1">
      <x:c r="A5" s="7" t="inlineStr">
        <x:is>
          <x:t xml:space="preserve">UST 2Y</x:t>
        </x:is>
      </x:c>
      <x:c r="B5" s="7" t="inlineStr">
        <x:is>
          <x:t xml:space="preserve">Treasury</x:t>
        </x:is>
      </x:c>
      <x:c r="C5" s="24" t="n">
        <x:v>0.04</x:v>
      </x:c>
      <x:c r="D5" s="25" t="n">
        <x:v>47026</x:v>
      </x:c>
      <x:c r="E5" s="24" t="n">
        <x:v>0.0385</x:v>
      </x:c>
      <x:c r="F5" s="21" t="n">
        <x:f>PRICE($B$2,D5,C5,E5,100,2)</x:f>
        <x:v>100.28561274951521</x:v>
      </x:c>
      <x:c r="G5" s="26" t="n">
        <x:f>(F25-E25)/2</x:f>
        <x:v>1.9392589314056665</x:v>
      </x:c>
      <x:c r="H5" s="26" t="n">
        <x:f>G5/(1+E5/2)</x:f>
        <x:v>1.9026332415066634</x:v>
      </x:c>
      <x:c r="I5" s="15" t="str">
        <x:v>Corrected: divide Macaulay duration by (1 + YTM/2).</x:v>
      </x:c>
      <x:c r="J5" s="21" t="n">
        <x:f>100*C5/2*E25</x:f>
        <x:v>0.011111111111111112</x:v>
      </x:c>
      <x:c r="K5" s="21" t="n">
        <x:f>F5+J5</x:f>
        <x:v>100.29672386062632</x:v>
      </x:c>
    </x:row>
    <x:row r="6" ht="44" customHeight="1">
      <x:c r="A6" s="7" t="inlineStr">
        <x:is>
          <x:t xml:space="preserve">UST 5Y</x:t>
        </x:is>
      </x:c>
      <x:c r="B6" s="7" t="inlineStr">
        <x:is>
          <x:t xml:space="preserve">Treasury</x:t>
        </x:is>
      </x:c>
      <x:c r="C6" s="24" t="n">
        <x:v>0.0375</x:v>
      </x:c>
      <x:c r="D6" s="25" t="n">
        <x:v>48121</x:v>
      </x:c>
      <x:c r="E6" s="24" t="n">
        <x:v>0.039</x:v>
      </x:c>
      <x:c r="F6" s="21" t="n">
        <x:f>PRICE($B$2,D6,C6,E6,100,2)</x:f>
        <x:v>99.32478079678087</x:v>
      </x:c>
      <x:c r="G6" s="26" t="n">
        <x:f>(F26-E26)/2</x:f>
        <x:v>4.601156984136113</x:v>
      </x:c>
      <x:c r="H6" s="26" t="n">
        <x:f>G6/(1+E6/2)</x:f>
        <x:v>4.513150548441503</x:v>
      </x:c>
      <x:c r="I6" s="15"/>
      <x:c r="J6" s="21" t="n">
        <x:f>100*C6/2*E26</x:f>
        <x:v>0.010416666666666668</x:v>
      </x:c>
      <x:c r="K6" s="21" t="n">
        <x:f>F6+J6</x:f>
        <x:v>99.33519746344754</x:v>
      </x:c>
    </x:row>
    <x:row r="7" ht="44" customHeight="1">
      <x:c r="A7" s="7" t="inlineStr">
        <x:is>
          <x:t xml:space="preserve">UST 7Y</x:t>
        </x:is>
      </x:c>
      <x:c r="B7" s="7" t="inlineStr">
        <x:is>
          <x:t xml:space="preserve">Treasury</x:t>
        </x:is>
      </x:c>
      <x:c r="C7" s="24" t="n">
        <x:v>0.04</x:v>
      </x:c>
      <x:c r="D7" s="25" t="n">
        <x:v>48852</x:v>
      </x:c>
      <x:c r="E7" s="24" t="n">
        <x:v>0.0405</x:v>
      </x:c>
      <x:c r="F7" s="21" t="n">
        <x:f>PRICE($B$2,D7,C7,E7,100,2)</x:f>
        <x:v>99.69786908018789</x:v>
      </x:c>
      <x:c r="G7" s="26" t="n">
        <x:f>(F27-E27)/2</x:f>
        <x:v>6.1698812400889995</x:v>
      </x:c>
      <x:c r="H7" s="26" t="n">
        <x:f>G7/(1+E7/2)</x:f>
        <x:v>6.047420965536877</x:v>
      </x:c>
      <x:c r="I7" s="15"/>
      <x:c r="J7" s="21" t="n">
        <x:f>100*C7/2*E27</x:f>
        <x:v>0.011111111111111112</x:v>
      </x:c>
      <x:c r="K7" s="21" t="n">
        <x:f>F7+J7</x:f>
        <x:v>99.70898019129899</x:v>
      </x:c>
    </x:row>
    <x:row r="8" ht="44" customHeight="1">
      <x:c r="A8" s="7" t="inlineStr">
        <x:is>
          <x:t xml:space="preserve">UST 10Y</x:t>
        </x:is>
      </x:c>
      <x:c r="B8" s="7" t="inlineStr">
        <x:is>
          <x:t xml:space="preserve">Treasury</x:t>
        </x:is>
      </x:c>
      <x:c r="C8" s="24" t="n">
        <x:v>0.0425</x:v>
      </x:c>
      <x:c r="D8" s="25" t="n">
        <x:v>49902</x:v>
      </x:c>
      <x:c r="E8" s="24" t="n">
        <x:v>0.042</x:v>
      </x:c>
      <x:c r="F8" s="21" t="n">
        <x:f>PRICE($B$2,D8,C8,E8,100,2)</x:f>
        <x:v>100.39649091416469</x:v>
      </x:c>
      <x:c r="G8" s="26" t="n">
        <x:f>(F28-E28)/2</x:f>
        <x:v>8.126075115305886</x:v>
      </x:c>
      <x:c r="H8" s="26" t="n">
        <x:f>G8/(1+E8/2)</x:f>
        <x:v>7.95893742929078</x:v>
      </x:c>
      <x:c r="I8" s="15"/>
      <x:c r="J8" s="21" t="n">
        <x:f>100*C8/2*E28</x:f>
        <x:v>0.5430555555555555</x:v>
      </x:c>
      <x:c r="K8" s="21" t="n">
        <x:f>F8+J8</x:f>
        <x:v>100.93954646972024</x:v>
      </x:c>
    </x:row>
    <x:row r="9" ht="44" customHeight="1">
      <x:c r="A9" s="7" t="inlineStr">
        <x:is>
          <x:t xml:space="preserve">UST 30Y</x:t>
        </x:is>
      </x:c>
      <x:c r="B9" s="7" t="inlineStr">
        <x:is>
          <x:t xml:space="preserve">Treasury</x:t>
        </x:is>
      </x:c>
      <x:c r="C9" s="24" t="n">
        <x:v>0.045</x:v>
      </x:c>
      <x:c r="D9" s="25" t="n">
        <x:v>57207</x:v>
      </x:c>
      <x:c r="E9" s="24" t="n">
        <x:v>0.0465</x:v>
      </x:c>
      <x:c r="F9" s="21" t="n">
        <x:f>PRICE($B$2,D9,C9,E9,100,2)</x:f>
        <x:v>97.58640015888986</x:v>
      </x:c>
      <x:c r="G9" s="26" t="n">
        <x:f>(F29-E29)/2</x:f>
        <x:v>16.448823436972766</x:v>
      </x:c>
      <x:c r="H9" s="26" t="n">
        <x:f>G9/(1+E9/2)</x:f>
        <x:v>16.075077876347684</x:v>
      </x:c>
      <x:c r="I9" s="15"/>
      <x:c r="J9" s="21" t="n">
        <x:f>100*C9/2*E29</x:f>
        <x:v>0.575</x:v>
      </x:c>
      <x:c r="K9" s="21" t="n">
        <x:f>F9+J9</x:f>
        <x:v>98.16140015888986</x:v>
      </x:c>
    </x:row>
    <x:row r="10" ht="44" customHeight="1">
      <x:c r="A10" s="7" t="inlineStr">
        <x:is>
          <x:t xml:space="preserve">Corp A (hypothetical, A-rated)</x:t>
        </x:is>
      </x:c>
      <x:c r="B10" s="7" t="inlineStr">
        <x:is>
          <x:t xml:space="preserve">Corporate</x:t>
        </x:is>
      </x:c>
      <x:c r="C10" s="24" t="n">
        <x:v>0.05</x:v>
      </x:c>
      <x:c r="D10" s="25" t="n">
        <x:v>48014</x:v>
      </x:c>
      <x:c r="E10" s="24" t="n">
        <x:v>0.051</x:v>
      </x:c>
      <x:c r="F10" s="21" t="n">
        <x:f>PRICE($B$2,D10,C10,E10,100,2)</x:f>
        <x:v>99.57867100585491</x:v>
      </x:c>
      <x:c r="G10" s="26" t="n">
        <x:f>(F30-E30)/2</x:f>
        <x:v>4.1896256862771875</x:v>
      </x:c>
      <x:c r="H10" s="26" t="n">
        <x:f>G10/(1+E10/2)</x:f>
        <x:v>4.085446793054302</x:v>
      </x:c>
      <x:c r="I10" s="15"/>
      <x:c r="J10" s="21" t="n">
        <x:f>100*C10/2*E30</x:f>
        <x:v>1.4722222222222223</x:v>
      </x:c>
      <x:c r="K10" s="21" t="n">
        <x:f>F10+J10</x:f>
        <x:v>101.05089322807714</x:v>
      </x:c>
    </x:row>
    <x:row r="11" ht="44" customHeight="1">
      <x:c r="A11" s="7" t="inlineStr">
        <x:is>
          <x:t xml:space="preserve">Corp B (hypothetical, BBB)</x:t>
        </x:is>
      </x:c>
      <x:c r="B11" s="7" t="inlineStr">
        <x:is>
          <x:t xml:space="preserve">Corporate</x:t>
        </x:is>
      </x:c>
      <x:c r="C11" s="24" t="n">
        <x:v>0.055</x:v>
      </x:c>
      <x:c r="D11" s="25" t="n">
        <x:v>49004</x:v>
      </x:c>
      <x:c r="E11" s="24" t="n">
        <x:v>0.0585</x:v>
      </x:c>
      <x:c r="F11" s="21" t="n">
        <x:f>PRICE($B$2,D11,C11,E11,100,2)</x:f>
        <x:v>97.91269488106106</x:v>
      </x:c>
      <x:c r="G11" s="26" t="n">
        <x:f>(F31-E31)/2</x:f>
        <x:v>6.146152341215848</x:v>
      </x:c>
      <x:c r="H11" s="26" t="n">
        <x:f>G11/(1+E11/2)</x:f>
        <x:v>5.971486365038473</x:v>
      </x:c>
      <x:c r="I11" s="15" t="inlineStr">
        <x:is>
          <x:t xml:space="preserve">corp B yield from a screenshot, double check</x:t>
        </x:is>
      </x:c>
      <x:c r="J11" s="21" t="n">
        <x:f>100*C11/2*E31</x:f>
        <x:v>0.4583333333333333</x:v>
      </x:c>
      <x:c r="K11" s="21" t="n">
        <x:f>F11+J11</x:f>
        <x:v>98.37102821439439</x:v>
      </x:c>
    </x:row>
    <x:row r="12" ht="44" customHeight="1">
      <x:c r="A12" s="7" t="inlineStr">
        <x:is>
          <x:t xml:space="preserve">Corp C (hypothetical, A-rated)</x:t>
        </x:is>
      </x:c>
      <x:c r="B12" s="7" t="inlineStr">
        <x:is>
          <x:t xml:space="preserve">Corporate</x:t>
        </x:is>
      </x:c>
      <x:c r="C12" s="24" t="n">
        <x:v>0.0475</x:v>
      </x:c>
      <x:c r="D12" s="25" t="n">
        <x:v>47437</x:v>
      </x:c>
      <x:c r="E12" s="24" t="n">
        <x:v>0.047</x:v>
      </x:c>
      <x:c r="F12" s="21" t="n">
        <x:f>PRICE($B$2,D12,C12,E12,100,2)</x:f>
        <x:v>100.13853186550453</x:v>
      </x:c>
      <x:c r="G12" s="26" t="n">
        <x:f>(F32-E32)/2</x:f>
        <x:v>2.8880594751888204</x:v>
      </x:c>
      <x:c r="H12" s="26" t="n">
        <x:f>G12/(1+E12/2)</x:f>
        <x:v>2.821748388069194</x:v>
      </x:c>
      <x:c r="I12" s="15"/>
      <x:c r="J12" s="21" t="n">
        <x:f>100*C12/2*E32</x:f>
        <x:v>1.7944444444444443</x:v>
      </x:c>
      <x:c r="K12" s="21" t="n">
        <x:f>F12+J12</x:f>
        <x:v>101.93297630994897</x:v>
      </x:c>
    </x:row>
    <x:row r="13" ht="25" customHeight="1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</x:row>
    <x:row r="14" ht="25" customHeight="1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</x:row>
    <x:row r="15" ht="30" customHeight="1">
      <x:c r="A15" s="15" t="str">
        <x:v>Scope: synthetic fixed-coupon bond exercise. All inputs are hypothetical, not market quotes.</x:v>
      </x:c>
      <x:c r="B15" s="15"/>
      <x:c r="C15" s="15"/>
      <x:c r="D15" s="15"/>
      <x:c r="E15" s="15"/>
      <x:c r="F15" s="15"/>
      <x:c r="G15" s="15"/>
      <x:c r="H15" s="15"/>
      <x:c r="I15" s="7"/>
      <x:c r="J15" s="7"/>
      <x:c r="K15" s="7"/>
    </x:row>
    <x:row r="16" ht="30" customHeight="1">
      <x:c r="A16" s="15" t="str">
        <x:v>Assumptions: $100 face value, semiannual coupons, US 30/360 basis (the original Excel default).</x:v>
      </x:c>
      <x:c r="B16" s="15"/>
      <x:c r="C16" s="15"/>
      <x:c r="D16" s="15"/>
      <x:c r="E16" s="15"/>
      <x:c r="F16" s="15"/>
      <x:c r="G16" s="15"/>
      <x:c r="H16" s="15"/>
      <x:c r="I16" s="7"/>
      <x:c r="J16" s="7"/>
      <x:c r="K16" s="7"/>
    </x:row>
    <x:row r="17" ht="30" customHeight="1">
      <x:c r="A17" s="15" t="str">
        <x:v>This simplified common day-count basis is not a claim about actual Treasury market conventions.</x:v>
      </x:c>
      <x:c r="B17" s="15"/>
      <x:c r="C17" s="15"/>
      <x:c r="D17" s="15"/>
      <x:c r="E17" s="15"/>
      <x:c r="F17" s="15"/>
      <x:c r="G17" s="15"/>
      <x:c r="H17" s="15"/>
      <x:c r="I17" s="7"/>
      <x:c r="J17" s="7"/>
      <x:c r="K17" s="7"/>
    </x:row>
    <x:row r="18" ht="30" customHeight="1">
      <x:c r="A18" s="15" t="str">
        <x:v>Duration is computed from the closed-form discounted cash-flow time average below.</x:v>
      </x:c>
      <x:c r="B18" s="15"/>
      <x:c r="C18" s="15"/>
      <x:c r="D18" s="15"/>
      <x:c r="E18" s="15"/>
      <x:c r="F18" s="15"/>
      <x:c r="G18" s="15"/>
      <x:c r="H18" s="15"/>
      <x:c r="I18" s="7"/>
      <x:c r="J18" s="7"/>
      <x:c r="K18" s="7"/>
    </x:row>
    <x:row r="19" ht="30" customHeight="1">
      <x:c r="A19" s="15" t="str">
        <x:v>Dirty price = clean price + accrued interest. Duration shocks apply to dirty price; settlement stays fixed.</x:v>
      </x:c>
      <x:c r="B19" s="15"/>
      <x:c r="C19" s="15"/>
      <x:c r="D19" s="15"/>
      <x:c r="E19" s="15"/>
      <x:c r="F19" s="15"/>
      <x:c r="G19" s="15"/>
      <x:c r="H19" s="15"/>
      <x:c r="I19" s="7"/>
      <x:c r="J19" s="7"/>
      <x:c r="K19" s="7"/>
    </x:row>
    <x:row r="20" ht="30" customHeight="1">
      <x:c r="A20" s="15" t="str">
        <x:v>AI assisted with formula corrections and scenario completion. Pending student review.</x:v>
      </x:c>
      <x:c r="B20" s="15"/>
      <x:c r="C20" s="15"/>
      <x:c r="D20" s="15"/>
      <x:c r="E20" s="15"/>
      <x:c r="F20" s="15"/>
      <x:c r="G20" s="15"/>
      <x:c r="H20" s="15"/>
      <x:c r="I20" s="7"/>
      <x:c r="J20" s="7"/>
      <x:c r="K20" s="7"/>
    </x:row>
    <x:row r="21" ht="30" customHeight="1">
      <x:c r="A21" s="15" t="str">
        <x:v>Source note at I11 is retained; no screenshot was supplied. Treat that yield as a synthetic input.</x:v>
      </x:c>
      <x:c r="B21" s="15"/>
      <x:c r="C21" s="15"/>
      <x:c r="D21" s="15"/>
      <x:c r="E21" s="15"/>
      <x:c r="F21" s="15"/>
      <x:c r="G21" s="15"/>
      <x:c r="H21" s="15"/>
      <x:c r="I21" s="7"/>
      <x:c r="J21" s="7"/>
      <x:c r="K21" s="7"/>
    </x:row>
    <x:row r="22" ht="30" customHeight="1">
      <x:c r="A22" s="15" t="str">
        <x:v>Reference: https://support.microsoft.com/en-us/excel/financial-functions-reference</x:v>
      </x:c>
      <x:c r="B22" s="15"/>
      <x:c r="C22" s="15"/>
      <x:c r="D22" s="15"/>
      <x:c r="E22" s="15"/>
      <x:c r="F22" s="15"/>
      <x:c r="G22" s="15"/>
      <x:c r="H22" s="15"/>
      <x:c r="I22" s="7"/>
      <x:c r="J22" s="7"/>
      <x:c r="K22" s="7"/>
    </x:row>
    <x:row r="23" ht="25" customHeight="1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</x:row>
    <x:row r="24" ht="42" customHeight="1">
      <x:c r="A24" s="19" t="str">
        <x:v>Duration calculation</x:v>
      </x:c>
      <x:c r="B24" s="19" t="str">
        <x:v>Coupon / period</x:v>
      </x:c>
      <x:c r="C24" s="19" t="str">
        <x:v>Yield / period</x:v>
      </x:c>
      <x:c r="D24" s="19" t="str">
        <x:v>Payments left</x:v>
      </x:c>
      <x:c r="E24" s="19" t="str">
        <x:v>Accrued fraction</x:v>
      </x:c>
      <x:c r="F24" s="19" t="str">
        <x:v>PV-weighted periods</x:v>
      </x:c>
      <x:c r="G24" s="7"/>
      <x:c r="H24" s="7"/>
      <x:c r="I24" s="7"/>
      <x:c r="J24" s="7"/>
      <x:c r="K24" s="7"/>
    </x:row>
    <x:row r="25" ht="25" customHeight="1">
      <x:c r="A25" s="7" t="str">
        <x:f>A5</x:f>
        <x:v>UST 2Y</x:v>
      </x:c>
      <x:c r="B25" s="22" t="n">
        <x:f>C5/2</x:f>
        <x:v>0.02</x:v>
      </x:c>
      <x:c r="C25" s="22" t="n">
        <x:f>E5/2</x:f>
        <x:v>0.01925</x:v>
      </x:c>
      <x:c r="D25" s="7" t="n">
        <x:f>COUPNUM($B$2,D5,2,0)</x:f>
        <x:v>4</x:v>
      </x:c>
      <x:c r="E25" s="23" t="n">
        <x:f>COUPDAYBS($B$2,D5,2,0)/COUPDAYS($B$2,D5,2,0)</x:f>
        <x:v>0.005555555555555556</x:v>
      </x:c>
      <x:c r="F25" s="23" t="n">
        <x:f>IF(C25=0,(B25*D25*(D25+1)/2+D25)/(B25*D25+1),(1+C25)/C25-((1+C25)+D25*(B25-C25))/(B25*((1+C25)^D25-1)+C25))</x:f>
        <x:v>3.8840734183668886</x:v>
      </x:c>
      <x:c r="G25" s="7"/>
      <x:c r="H25" s="7"/>
      <x:c r="I25" s="7"/>
      <x:c r="J25" s="7"/>
      <x:c r="K25" s="7"/>
    </x:row>
    <x:row r="26" ht="25" customHeight="1">
      <x:c r="A26" s="7" t="str">
        <x:f>A6</x:f>
        <x:v>UST 5Y</x:v>
      </x:c>
      <x:c r="B26" s="22" t="n">
        <x:f>C6/2</x:f>
        <x:v>0.01875</x:v>
      </x:c>
      <x:c r="C26" s="22" t="n">
        <x:f>E6/2</x:f>
        <x:v>0.0195</x:v>
      </x:c>
      <x:c r="D26" s="7" t="n">
        <x:f>COUPNUM($B$2,D6,2,0)</x:f>
        <x:v>10</x:v>
      </x:c>
      <x:c r="E26" s="23" t="n">
        <x:f>COUPDAYBS($B$2,D6,2,0)/COUPDAYS($B$2,D6,2,0)</x:f>
        <x:v>0.005555555555555556</x:v>
      </x:c>
      <x:c r="F26" s="23" t="n">
        <x:f>IF(C26=0,(B26*D26*(D26+1)/2+D26)/(B26*D26+1),(1+C26)/C26-((1+C26)+D26*(B26-C26))/(B26*((1+C26)^D26-1)+C26))</x:f>
        <x:v>9.207869523827782</x:v>
      </x:c>
      <x:c r="G26" s="7"/>
      <x:c r="H26" s="7"/>
      <x:c r="I26" s="7"/>
      <x:c r="J26" s="7"/>
      <x:c r="K26" s="7"/>
    </x:row>
    <x:row r="27" ht="25" customHeight="1">
      <x:c r="A27" s="7" t="str">
        <x:f>A7</x:f>
        <x:v>UST 7Y</x:v>
      </x:c>
      <x:c r="B27" s="22" t="n">
        <x:f>C7/2</x:f>
        <x:v>0.02</x:v>
      </x:c>
      <x:c r="C27" s="22" t="n">
        <x:f>E7/2</x:f>
        <x:v>0.02025</x:v>
      </x:c>
      <x:c r="D27" s="7" t="n">
        <x:f>COUPNUM($B$2,D7,2,0)</x:f>
        <x:v>14</x:v>
      </x:c>
      <x:c r="E27" s="23" t="n">
        <x:f>COUPDAYBS($B$2,D7,2,0)/COUPDAYS($B$2,D7,2,0)</x:f>
        <x:v>0.005555555555555556</x:v>
      </x:c>
      <x:c r="F27" s="23" t="n">
        <x:f>IF(C27=0,(B27*D27*(D27+1)/2+D27)/(B27*D27+1),(1+C27)/C27-((1+C27)+D27*(B27-C27))/(B27*((1+C27)^D27-1)+C27))</x:f>
        <x:v>12.345318035733555</x:v>
      </x:c>
      <x:c r="G27" s="7"/>
      <x:c r="H27" s="7"/>
      <x:c r="I27" s="7"/>
      <x:c r="J27" s="7"/>
      <x:c r="K27" s="7"/>
    </x:row>
    <x:row r="28" ht="25" customHeight="1">
      <x:c r="A28" s="7" t="str">
        <x:f>A8</x:f>
        <x:v>UST 10Y</x:v>
      </x:c>
      <x:c r="B28" s="22" t="n">
        <x:f>C8/2</x:f>
        <x:v>0.02125</x:v>
      </x:c>
      <x:c r="C28" s="22" t="n">
        <x:f>E8/2</x:f>
        <x:v>0.021</x:v>
      </x:c>
      <x:c r="D28" s="7" t="n">
        <x:f>COUPNUM($B$2,D8,2,0)</x:f>
        <x:v>20</x:v>
      </x:c>
      <x:c r="E28" s="23" t="n">
        <x:f>COUPDAYBS($B$2,D8,2,0)/COUPDAYS($B$2,D8,2,0)</x:f>
        <x:v>0.25555555555555554</x:v>
      </x:c>
      <x:c r="F28" s="23" t="n">
        <x:f>IF(C28=0,(B28*D28*(D28+1)/2+D28)/(B28*D28+1),(1+C28)/C28-((1+C28)+D28*(B28-C28))/(B28*((1+C28)^D28-1)+C28))</x:f>
        <x:v>16.507705786167328</x:v>
      </x:c>
      <x:c r="G28" s="7"/>
      <x:c r="H28" s="7"/>
      <x:c r="I28" s="7"/>
      <x:c r="J28" s="7"/>
      <x:c r="K28" s="7"/>
    </x:row>
    <x:row r="29" ht="25" customHeight="1">
      <x:c r="A29" s="7" t="str">
        <x:f>A9</x:f>
        <x:v>UST 30Y</x:v>
      </x:c>
      <x:c r="B29" s="22" t="n">
        <x:f>C9/2</x:f>
        <x:v>0.0225</x:v>
      </x:c>
      <x:c r="C29" s="22" t="n">
        <x:f>E9/2</x:f>
        <x:v>0.02325</x:v>
      </x:c>
      <x:c r="D29" s="7" t="n">
        <x:f>COUPNUM($B$2,D9,2,0)</x:f>
        <x:v>60</x:v>
      </x:c>
      <x:c r="E29" s="23" t="n">
        <x:f>COUPDAYBS($B$2,D9,2,0)/COUPDAYS($B$2,D9,2,0)</x:f>
        <x:v>0.25555555555555554</x:v>
      </x:c>
      <x:c r="F29" s="23" t="n">
        <x:f>IF(C29=0,(B29*D29*(D29+1)/2+D29)/(B29*D29+1),(1+C29)/C29-((1+C29)+D29*(B29-C29))/(B29*((1+C29)^D29-1)+C29))</x:f>
        <x:v>33.153202429501086</x:v>
      </x:c>
      <x:c r="G29" s="7"/>
      <x:c r="H29" s="7"/>
      <x:c r="I29" s="7"/>
      <x:c r="J29" s="7"/>
      <x:c r="K29" s="7"/>
    </x:row>
    <x:row r="30" ht="25" customHeight="1">
      <x:c r="A30" s="7" t="str">
        <x:f>A10</x:f>
        <x:v>Corp A (hypothetical, A-rated)</x:v>
      </x:c>
      <x:c r="B30" s="22" t="n">
        <x:f>C10/2</x:f>
        <x:v>0.025</x:v>
      </x:c>
      <x:c r="C30" s="22" t="n">
        <x:f>E10/2</x:f>
        <x:v>0.0255</x:v>
      </x:c>
      <x:c r="D30" s="7" t="n">
        <x:f>COUPNUM($B$2,D10,2,0)</x:f>
        <x:v>10</x:v>
      </x:c>
      <x:c r="E30" s="23" t="n">
        <x:f>COUPDAYBS($B$2,D10,2,0)/COUPDAYS($B$2,D10,2,0)</x:f>
        <x:v>0.5888888888888889</x:v>
      </x:c>
      <x:c r="F30" s="23" t="n">
        <x:f>IF(C30=0,(B30*D30*(D30+1)/2+D30)/(B30*D30+1),(1+C30)/C30-((1+C30)+D30*(B30-C30))/(B30*((1+C30)^D30-1)+C30))</x:f>
        <x:v>8.968140261443263</x:v>
      </x:c>
      <x:c r="G30" s="7"/>
      <x:c r="H30" s="7"/>
      <x:c r="I30" s="7"/>
      <x:c r="J30" s="7"/>
      <x:c r="K30" s="7"/>
    </x:row>
    <x:row r="31" ht="25" customHeight="1">
      <x:c r="A31" s="7" t="str">
        <x:f>A11</x:f>
        <x:v>Corp B (hypothetical, BBB)</x:v>
      </x:c>
      <x:c r="B31" s="22" t="n">
        <x:f>C11/2</x:f>
        <x:v>0.0275</x:v>
      </x:c>
      <x:c r="C31" s="22" t="n">
        <x:f>E11/2</x:f>
        <x:v>0.02925</x:v>
      </x:c>
      <x:c r="D31" s="7" t="n">
        <x:f>COUPNUM($B$2,D11,2,0)</x:f>
        <x:v>15</x:v>
      </x:c>
      <x:c r="E31" s="23" t="n">
        <x:f>COUPDAYBS($B$2,D11,2,0)/COUPDAYS($B$2,D11,2,0)</x:f>
        <x:v>0.16666666666666666</x:v>
      </x:c>
      <x:c r="F31" s="23" t="n">
        <x:f>IF(C31=0,(B31*D31*(D31+1)/2+D31)/(B31*D31+1),(1+C31)/C31-((1+C31)+D31*(B31-C31))/(B31*((1+C31)^D31-1)+C31))</x:f>
        <x:v>12.458971349098363</x:v>
      </x:c>
      <x:c r="G31" s="7"/>
      <x:c r="H31" s="7"/>
      <x:c r="I31" s="7"/>
      <x:c r="J31" s="7"/>
      <x:c r="K31" s="7"/>
    </x:row>
    <x:row r="32" ht="25" customHeight="1">
      <x:c r="A32" s="7" t="str">
        <x:f>A12</x:f>
        <x:v>Corp C (hypothetical, A-rated)</x:v>
      </x:c>
      <x:c r="B32" s="22" t="n">
        <x:f>C12/2</x:f>
        <x:v>0.02375</x:v>
      </x:c>
      <x:c r="C32" s="22" t="n">
        <x:f>E12/2</x:f>
        <x:v>0.0235</x:v>
      </x:c>
      <x:c r="D32" s="7" t="n">
        <x:f>COUPNUM($B$2,D12,2,0)</x:f>
        <x:v>7</x:v>
      </x:c>
      <x:c r="E32" s="23" t="n">
        <x:f>COUPDAYBS($B$2,D12,2,0)/COUPDAYS($B$2,D12,2,0)</x:f>
        <x:v>0.7555555555555555</x:v>
      </x:c>
      <x:c r="F32" s="23" t="n">
        <x:f>IF(C32=0,(B32*D32*(D32+1)/2+D32)/(B32*D32+1),(1+C32)/C32-((1+C32)+D32*(B32-C32))/(B32*((1+C32)^D32-1)+C32))</x:f>
        <x:v>6.531674505933196</x:v>
      </x:c>
      <x:c r="G32" s="7"/>
      <x:c r="H32" s="7"/>
      <x:c r="I32" s="7"/>
      <x:c r="J32" s="7"/>
      <x:c r="K32" s="7"/>
    </x:row>
  </x:sheetData>
  <x:mergeCells>
    <x:mergeCell ref="A15:H15"/>
    <x:mergeCell ref="A16:H16"/>
    <x:mergeCell ref="A17:H17"/>
    <x:mergeCell ref="A18:H18"/>
    <x:mergeCell ref="A19:H19"/>
    <x:mergeCell ref="A20:H20"/>
    <x:mergeCell ref="A21:H21"/>
    <x:mergeCell ref="A22:H22"/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2" customHeight="1">
      <x:c r="A1" s="12" t="inlineStr">
        <x:is>
          <x:t xml:space="preserve">Bond Duration Analysis — Synthetic-Data Learning Exercise</x:t>
        </x:is>
      </x:c>
      <x:c r="B1" s="7"/>
      <x:c r="C1" s="7"/>
      <x:c r="D1" s="7"/>
      <x:c r="E1" s="7"/>
      <x:c r="F1" s="7"/>
      <x:c r="G1" s="7"/>
      <x:c r="H1" s="7"/>
      <x:c r="I1" s="7"/>
    </x:row>
    <x:row r="2" ht="25" customHeight="1">
      <x:c r="A2" s="7" t="str">
        <x:v>Yield shock (bp)</x:v>
      </x:c>
      <x:c r="B2" s="28" t="n">
        <x:v>100</x:v>
      </x:c>
      <x:c r="C2" s="7"/>
      <x:c r="D2" s="7"/>
      <x:c r="E2" s="7"/>
      <x:c r="F2" s="7"/>
      <x:c r="G2" s="7"/>
      <x:c r="H2" s="7"/>
      <x:c r="I2" s="7"/>
    </x:row>
    <x:row r="3" ht="42" customHeight="1">
      <x:c r="A3" s="19" t="str">
        <x:v>Bond</x:v>
      </x:c>
      <x:c r="B3" s="19" t="str">
        <x:v>Base clean price</x:v>
      </x:c>
      <x:c r="C3" s="19" t="str">
        <x:v>Modified years</x:v>
      </x:c>
      <x:c r="D3" s="19" t="str">
        <x:v>Rise: price change</x:v>
      </x:c>
      <x:c r="E3" s="19" t="str">
        <x:v>Fall: price change</x:v>
      </x:c>
      <x:c r="F3" s="19" t="str">
        <x:v>Rise: approx clean</x:v>
      </x:c>
      <x:c r="G3" s="19" t="str">
        <x:v>Fall: approx clean</x:v>
      </x:c>
      <x:c r="H3" s="19" t="str">
        <x:v>Rise: exact clean</x:v>
      </x:c>
      <x:c r="I3" s="19" t="str">
        <x:v>Fall: exact clean</x:v>
      </x:c>
    </x:row>
    <x:row r="4" ht="38" customHeight="1">
      <x:c r="A4" s="15" t="str">
        <x:f>bonds!A5</x:f>
        <x:v>UST 2Y</x:v>
      </x:c>
      <x:c r="B4" s="27" t="n">
        <x:f>bonds!F5</x:f>
        <x:v>100.28561274951521</x:v>
      </x:c>
      <x:c r="C4" s="27" t="n">
        <x:f>bonds!H5</x:f>
        <x:v>1.9026332415066634</x:v>
      </x:c>
      <x:c r="D4" s="27" t="n">
        <x:f>-C4*($B$2/10000)*'bonds'!K5</x:f>
        <x:v>-1.9082788083144215</x:v>
      </x:c>
      <x:c r="E4" s="27" t="n">
        <x:f>C4*($B$2/10000)*'bonds'!K5</x:f>
        <x:v>1.9082788083144215</x:v>
      </x:c>
      <x:c r="F4" s="27" t="n">
        <x:f>B4+D4</x:f>
        <x:v>98.37733394120079</x:v>
      </x:c>
      <x:c r="G4" s="27" t="n">
        <x:f>B4+E4</x:f>
        <x:v>102.19389155782963</x:v>
      </x:c>
      <x:c r="H4" s="27" t="n">
        <x:f>PRICE('bonds'!$B$2,'bonds'!D5,'bonds'!C5,'bonds'!E5+$B$2/10000,100,2,0)</x:f>
        <x:v>98.40025616479076</x:v>
      </x:c>
      <x:c r="I4" s="27" t="n">
        <x:f>PRICE('bonds'!$B$2,'bonds'!D5,'bonds'!C5,'bonds'!E5-$B$2/10000,100,2,0)</x:f>
        <x:v>102.21726531583623</x:v>
      </x:c>
    </x:row>
    <x:row r="5" ht="38" customHeight="1">
      <x:c r="A5" s="15" t="str">
        <x:f>bonds!A6</x:f>
        <x:v>UST 5Y</x:v>
      </x:c>
      <x:c r="B5" s="27" t="n">
        <x:f>bonds!F6</x:f>
        <x:v>99.32478079678087</x:v>
      </x:c>
      <x:c r="C5" s="27" t="n">
        <x:f>bonds!H6</x:f>
        <x:v>4.513150548441503</x:v>
      </x:c>
      <x:c r="D5" s="27" t="n">
        <x:f>-C5*($B$2/10000)*'bonds'!K6</x:f>
        <x:v>-4.483147009117033</x:v>
      </x:c>
      <x:c r="E5" s="27" t="n">
        <x:f>C5*($B$2/10000)*'bonds'!K6</x:f>
        <x:v>4.483147009117033</x:v>
      </x:c>
      <x:c r="F5" s="27" t="n">
        <x:f>B5+D5</x:f>
        <x:v>94.84163378766384</x:v>
      </x:c>
      <x:c r="G5" s="27" t="n">
        <x:f>B5+E5</x:f>
        <x:v>103.8079278058979</x:v>
      </x:c>
      <x:c r="H5" s="27" t="n">
        <x:f>PRICE('bonds'!$B$2,'bonds'!D6,'bonds'!C6,'bonds'!E6+$B$2/10000,100,2,0)</x:f>
        <x:v>94.95688899835753</x:v>
      </x:c>
      <x:c r="I5" s="27" t="n">
        <x:f>PRICE('bonds'!$B$2,'bonds'!D6,'bonds'!C6,'bonds'!E6-$B$2/10000,100,2,0)</x:f>
        <x:v>103.92772643987414</x:v>
      </x:c>
    </x:row>
    <x:row r="6" ht="38" customHeight="1">
      <x:c r="A6" s="15" t="str">
        <x:f>bonds!A7</x:f>
        <x:v>UST 7Y</x:v>
      </x:c>
      <x:c r="B6" s="27" t="n">
        <x:f>bonds!F7</x:f>
        <x:v>99.69786908018789</x:v>
      </x:c>
      <x:c r="C6" s="27" t="n">
        <x:f>bonds!H7</x:f>
        <x:v>6.047420965536877</x:v>
      </x:c>
      <x:c r="D6" s="27" t="n">
        <x:f>-C6*($B$2/10000)*'bonds'!K7</x:f>
        <x:v>-6.029821772611626</x:v>
      </x:c>
      <x:c r="E6" s="27" t="n">
        <x:f>C6*($B$2/10000)*'bonds'!K7</x:f>
        <x:v>6.029821772611626</x:v>
      </x:c>
      <x:c r="F6" s="27" t="n">
        <x:f>B6+D6</x:f>
        <x:v>93.66804730757626</x:v>
      </x:c>
      <x:c r="G6" s="27" t="n">
        <x:f>B6+E6</x:f>
        <x:v>105.72769085279951</x:v>
      </x:c>
      <x:c r="H6" s="27" t="n">
        <x:f>PRICE('bonds'!$B$2,'bonds'!D7,'bonds'!C7,'bonds'!E7+$B$2/10000,100,2,0)</x:f>
        <x:v>93.87478031495407</x:v>
      </x:c>
      <x:c r="I6" s="27" t="n">
        <x:f>PRICE('bonds'!$B$2,'bonds'!D7,'bonds'!C7,'bonds'!E7-$B$2/10000,100,2,0)</x:f>
        <x:v>105.94526601389597</x:v>
      </x:c>
    </x:row>
    <x:row r="7" ht="38" customHeight="1">
      <x:c r="A7" s="15" t="str">
        <x:f>bonds!A8</x:f>
        <x:v>UST 10Y</x:v>
      </x:c>
      <x:c r="B7" s="27" t="n">
        <x:f>bonds!F8</x:f>
        <x:v>100.39649091416469</x:v>
      </x:c>
      <x:c r="C7" s="27" t="n">
        <x:f>bonds!H8</x:f>
        <x:v>7.95893742929078</x:v>
      </x:c>
      <x:c r="D7" s="27" t="n">
        <x:f>-C7*($B$2/10000)*'bonds'!K8</x:f>
        <x:v>-8.033715344934924</x:v>
      </x:c>
      <x:c r="E7" s="27" t="n">
        <x:f>C7*($B$2/10000)*'bonds'!K8</x:f>
        <x:v>8.033715344934924</x:v>
      </x:c>
      <x:c r="F7" s="27" t="n">
        <x:f>B7+D7</x:f>
        <x:v>92.36277556922977</x:v>
      </x:c>
      <x:c r="G7" s="27" t="n">
        <x:f>B7+E7</x:f>
        <x:v>108.4302062590996</x:v>
      </x:c>
      <x:c r="H7" s="27" t="n">
        <x:f>PRICE('bonds'!$B$2,'bonds'!D8,'bonds'!C8,'bonds'!E8+$B$2/10000,100,2,0)</x:f>
        <x:v>92.73139678583622</x:v>
      </x:c>
      <x:c r="I7" s="27" t="n">
        <x:f>PRICE('bonds'!$B$2,'bonds'!D8,'bonds'!C8,'bonds'!E8-$B$2/10000,100,2,0)</x:f>
        <x:v>108.82500443624856</x:v>
      </x:c>
    </x:row>
    <x:row r="8" ht="38" customHeight="1">
      <x:c r="A8" s="15" t="str">
        <x:f>bonds!A9</x:f>
        <x:v>UST 30Y</x:v>
      </x:c>
      <x:c r="B8" s="27" t="n">
        <x:f>bonds!F9</x:f>
        <x:v>97.58640015888986</x:v>
      </x:c>
      <x:c r="C8" s="27" t="n">
        <x:f>bonds!H9</x:f>
        <x:v>16.075077876347684</x:v>
      </x:c>
      <x:c r="D8" s="27" t="n">
        <x:f>-C8*($B$2/10000)*'bonds'!K9</x:f>
        <x:v>-15.779521520054825</x:v>
      </x:c>
      <x:c r="E8" s="27" t="n">
        <x:f>C8*($B$2/10000)*'bonds'!K9</x:f>
        <x:v>15.779521520054825</x:v>
      </x:c>
      <x:c r="F8" s="27" t="n">
        <x:f>B8+D8</x:f>
        <x:v>81.80687863883503</x:v>
      </x:c>
      <x:c r="G8" s="27" t="n">
        <x:f>B8+E8</x:f>
        <x:v>113.36592167894469</x:v>
      </x:c>
      <x:c r="H8" s="27" t="n">
        <x:f>PRICE('bonds'!$B$2,'bonds'!D9,'bonds'!C9,'bonds'!E9+$B$2/10000,100,2,0)</x:f>
        <x:v>83.49323908130323</x:v>
      </x:c>
      <x:c r="I8" s="27" t="n">
        <x:f>PRICE('bonds'!$B$2,'bonds'!D9,'bonds'!C9,'bonds'!E9-$B$2/10000,100,2,0)</x:f>
        <x:v>115.3794195122115</x:v>
      </x:c>
    </x:row>
    <x:row r="9" ht="38" customHeight="1">
      <x:c r="A9" s="15" t="str">
        <x:f>bonds!A10</x:f>
        <x:v>Corp A (hypothetical, A-rated)</x:v>
      </x:c>
      <x:c r="B9" s="27" t="n">
        <x:f>bonds!F10</x:f>
        <x:v>99.57867100585491</x:v>
      </x:c>
      <x:c r="C9" s="27" t="n">
        <x:f>bonds!H10</x:f>
        <x:v>4.085446793054302</x:v>
      </x:c>
      <x:c r="D9" s="27" t="n">
        <x:f>-C9*($B$2/10000)*'bonds'!K10</x:f>
        <x:v>-4.1283804767392045</x:v>
      </x:c>
      <x:c r="E9" s="27" t="n">
        <x:f>C9*($B$2/10000)*'bonds'!K10</x:f>
        <x:v>4.1283804767392045</x:v>
      </x:c>
      <x:c r="F9" s="27" t="n">
        <x:f>B9+D9</x:f>
        <x:v>95.4502905291157</x:v>
      </x:c>
      <x:c r="G9" s="27" t="n">
        <x:f>B9+E9</x:f>
        <x:v>103.70705148259412</x:v>
      </x:c>
      <x:c r="H9" s="27" t="n">
        <x:f>PRICE('bonds'!$B$2,'bonds'!D10,'bonds'!C10,'bonds'!E10+$B$2/10000,100,2,0)</x:f>
        <x:v>95.54959183336767</x:v>
      </x:c>
      <x:c r="I9" s="27" t="n">
        <x:f>PRICE('bonds'!$B$2,'bonds'!D10,'bonds'!C10,'bonds'!E10-$B$2/10000,100,2,0)</x:f>
        <x:v>103.81003785121412</x:v>
      </x:c>
    </x:row>
    <x:row r="10" ht="38" customHeight="1">
      <x:c r="A10" s="15" t="str">
        <x:f>bonds!A11</x:f>
        <x:v>Corp B (hypothetical, BBB)</x:v>
      </x:c>
      <x:c r="B10" s="27" t="n">
        <x:f>bonds!F11</x:f>
        <x:v>97.91269488106106</x:v>
      </x:c>
      <x:c r="C10" s="27" t="n">
        <x:f>bonds!H11</x:f>
        <x:v>5.971486365038473</x:v>
      </x:c>
      <x:c r="D10" s="27" t="n">
        <x:f>-C10*($B$2/10000)*'bonds'!K11</x:f>
        <x:v>-5.8742125369707106</x:v>
      </x:c>
      <x:c r="E10" s="27" t="n">
        <x:f>C10*($B$2/10000)*'bonds'!K11</x:f>
        <x:v>5.8742125369707106</x:v>
      </x:c>
      <x:c r="F10" s="27" t="n">
        <x:f>B10+D10</x:f>
        <x:v>92.03848234409034</x:v>
      </x:c>
      <x:c r="G10" s="27" t="n">
        <x:f>B10+E10</x:f>
        <x:v>103.78690741803177</x:v>
      </x:c>
      <x:c r="H10" s="27" t="n">
        <x:f>PRICE('bonds'!$B$2,'bonds'!D11,'bonds'!C11,'bonds'!E11+$B$2/10000,100,2,0)</x:f>
        <x:v>92.24464561591951</x:v>
      </x:c>
      <x:c r="I10" s="27" t="n">
        <x:f>PRICE('bonds'!$B$2,'bonds'!D11,'bonds'!C11,'bonds'!E11-$B$2/10000,100,2,0)</x:f>
        <x:v>104.00423795101865</x:v>
      </x:c>
    </x:row>
    <x:row r="11" ht="38" customHeight="1">
      <x:c r="A11" s="15" t="str">
        <x:f>bonds!A12</x:f>
        <x:v>Corp C (hypothetical, A-rated)</x:v>
      </x:c>
      <x:c r="B11" s="27" t="n">
        <x:f>bonds!F12</x:f>
        <x:v>100.13853186550453</x:v>
      </x:c>
      <x:c r="C11" s="27" t="n">
        <x:f>bonds!H12</x:f>
        <x:v>2.821748388069194</x:v>
      </x:c>
      <x:c r="D11" s="27" t="n">
        <x:f>-C11*($B$2/10000)*'bonds'!K12</x:f>
        <x:v>-2.8762921159369386</x:v>
      </x:c>
      <x:c r="E11" s="27" t="n">
        <x:f>C11*($B$2/10000)*'bonds'!K12</x:f>
        <x:v>2.8762921159369386</x:v>
      </x:c>
      <x:c r="F11" s="27" t="n">
        <x:f>B11+D11</x:f>
        <x:v>97.2622397495676</x:v>
      </x:c>
      <x:c r="G11" s="27" t="n">
        <x:f>B11+E11</x:f>
        <x:v>103.01482398144147</x:v>
      </x:c>
      <x:c r="H11" s="27" t="n">
        <x:f>PRICE('bonds'!$B$2,'bonds'!D12,'bonds'!C12,'bonds'!E12+$B$2/10000,100,2,0)</x:f>
        <x:v>97.31142222065691</x:v>
      </x:c>
      <x:c r="I11" s="27" t="n">
        <x:f>PRICE('bonds'!$B$2,'bonds'!D12,'bonds'!C12,'bonds'!E12-$B$2/10000,100,2,0)</x:f>
        <x:v>103.06533084813552</x:v>
      </x:c>
    </x:row>
    <x:row r="12" ht="25" customHeight="1">
      <x:c r="A12" s="7"/>
      <x:c r="B12" s="7"/>
      <x:c r="C12" s="7"/>
      <x:c r="D12" s="7"/>
      <x:c r="E12" s="7"/>
      <x:c r="F12" s="7"/>
      <x:c r="G12" s="7"/>
      <x:c r="H12" s="7"/>
      <x:c r="I12" s="7"/>
    </x:row>
    <x:row r="13" ht="30" customHeight="1">
      <x:c r="A13" s="15" t="str">
        <x:v>All price changes are dollars per $100 face value, not percentage returns. 100 bp = 1 percentage point.</x:v>
      </x:c>
      <x:c r="B13" s="15"/>
      <x:c r="C13" s="15"/>
      <x:c r="D13" s="15"/>
      <x:c r="E13" s="15"/>
      <x:c r="F13" s="15"/>
      <x:c r="G13" s="15"/>
      <x:c r="H13" s="15"/>
      <x:c r="I13" s="15"/>
    </x:row>
    <x:row r="14" ht="30" customHeight="1">
      <x:c r="A14" s="15" t="str">
        <x:v>Approximation: change in price = -modified duration × change in yield × base dirty price.</x:v>
      </x:c>
      <x:c r="B14" s="15"/>
      <x:c r="C14" s="15"/>
      <x:c r="D14" s="15"/>
      <x:c r="E14" s="15"/>
      <x:c r="F14" s="15"/>
      <x:c r="G14" s="15"/>
      <x:c r="H14" s="15"/>
      <x:c r="I14" s="15"/>
    </x:row>
    <x:row r="15" ht="30" customHeight="1">
      <x:c r="A15" s="15" t="str">
        <x:v>Exact columns reprice fixed cash flows at the shocked yield; unchanged accrued interest gives clean prices.</x:v>
      </x:c>
      <x:c r="B15" s="15"/>
      <x:c r="C15" s="15"/>
      <x:c r="D15" s="15"/>
      <x:c r="E15" s="15"/>
      <x:c r="F15" s="15"/>
      <x:c r="G15" s="15"/>
      <x:c r="H15" s="15"/>
      <x:c r="I15" s="15"/>
    </x:row>
    <x:row r="16" ht="30" customHeight="1">
      <x:c r="A16" s="15" t="str">
        <x:v>The linear approximation excludes convexity. Exact repricing captures the nonlinear price/yield relationship.</x:v>
      </x:c>
      <x:c r="B16" s="15"/>
      <x:c r="C16" s="15"/>
      <x:c r="D16" s="15"/>
      <x:c r="E16" s="15"/>
      <x:c r="F16" s="15"/>
      <x:c r="G16" s="15"/>
      <x:c r="H16" s="15"/>
      <x:c r="I16" s="15"/>
    </x:row>
    <x:row r="17" ht="30" customHeight="1">
      <x:c r="A17" s="15" t="str">
        <x:v>Corporate yield shocks do not separately model credit spreads or default. No portfolio weights were supplied.</x:v>
      </x:c>
      <x:c r="B17" s="15"/>
      <x:c r="C17" s="15"/>
      <x:c r="D17" s="15"/>
      <x:c r="E17" s="15"/>
      <x:c r="F17" s="15"/>
      <x:c r="G17" s="15"/>
      <x:c r="H17" s="15"/>
      <x:c r="I17" s="15"/>
    </x:row>
    <x:row r="18" ht="30" customHeight="1">
      <x:c r="A18" s="15" t="str">
        <x:v>Synthetic-data exercise corrected with AI assistance; no MBS, credit stress model, or portfolio allocation.</x:v>
      </x:c>
      <x:c r="B18" s="15"/>
      <x:c r="C18" s="15"/>
      <x:c r="D18" s="15"/>
      <x:c r="E18" s="15"/>
      <x:c r="F18" s="15"/>
      <x:c r="G18" s="15"/>
      <x:c r="H18" s="15"/>
      <x:c r="I18" s="15"/>
    </x:row>
  </x:sheetData>
  <x:mergeCells>
    <x:mergeCell ref="A13:I13"/>
    <x:mergeCell ref="A14:I14"/>
    <x:mergeCell ref="A15:I15"/>
    <x:mergeCell ref="A16:I16"/>
    <x:mergeCell ref="A17:I17"/>
    <x:mergeCell ref="A18:I18"/>
    <x:mergeCell ref="A1:I1"/>
  </x:mergeCells>
  <x:pageMargins left="0.7" right="0.7" top="0.75" bottom="0.75" header="0.3" footer="0.3"/>
</x:worksheet>
</file>